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0a8dfbd361eb1d/Documents/"/>
    </mc:Choice>
  </mc:AlternateContent>
  <xr:revisionPtr revIDLastSave="6" documentId="8_{3FB73780-FD23-4A9F-9BE7-46CC020F15CD}" xr6:coauthVersionLast="47" xr6:coauthVersionMax="47" xr10:uidLastSave="{C74DAE2E-F95A-4AB8-A276-ACC438C6E4F5}"/>
  <bookViews>
    <workbookView xWindow="-108" yWindow="-108" windowWidth="23256" windowHeight="12456" xr2:uid="{19A408B6-D714-4616-AA53-9956F4506D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O2" i="1"/>
  <c r="L2" i="1"/>
  <c r="E18" i="1"/>
  <c r="D18" i="1"/>
  <c r="C18" i="1"/>
  <c r="L3" i="1"/>
  <c r="L4" i="1"/>
  <c r="L5" i="1"/>
  <c r="L6" i="1"/>
  <c r="M3" i="1"/>
  <c r="M4" i="1"/>
  <c r="M5" i="1"/>
  <c r="M6" i="1"/>
  <c r="M2" i="1"/>
  <c r="O6" i="1"/>
  <c r="O5" i="1"/>
  <c r="O4" i="1"/>
  <c r="O3" i="1"/>
  <c r="O8" i="1"/>
</calcChain>
</file>

<file path=xl/sharedStrings.xml><?xml version="1.0" encoding="utf-8"?>
<sst xmlns="http://schemas.openxmlformats.org/spreadsheetml/2006/main" count="96" uniqueCount="52">
  <si>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</si>
  <si>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</si>
  <si>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</si>
  <si>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</si>
  <si>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</si>
  <si>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</si>
  <si>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</si>
  <si>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</si>
  <si>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</si>
  <si>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</si>
  <si>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</si>
  <si>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</si>
  <si>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</si>
  <si>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</si>
  <si>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</si>
  <si>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</si>
  <si>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</si>
  <si>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</si>
  <si>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</si>
  <si>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</si>
  <si>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</si>
  <si>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</si>
  <si>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</si>
  <si>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</si>
  <si>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</si>
  <si>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</si>
  <si>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</si>
  <si>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</si>
  <si>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</si>
  <si>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</si>
  <si>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</si>
  <si>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</si>
  <si>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</si>
  <si>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</si>
  <si>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</si>
  <si>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</si>
  <si>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</si>
  <si>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</si>
  <si>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</si>
  <si>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</si>
  <si>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</si>
  <si>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</si>
  <si>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</si>
  <si>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</si>
  <si>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</si>
  <si>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</si>
  <si>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total sales value</t>
  </si>
  <si>
    <t>Target Sales</t>
  </si>
  <si>
    <t>total revenue generated</t>
  </si>
  <si>
    <t>vlookup on product name</t>
  </si>
  <si>
    <t>vlookup on price per unit</t>
  </si>
  <si>
    <t xml:space="preserve">hlookup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</si>
</sst>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center" wrapText="1"/>
    </xf>
    <xf numFmtId="0" fontId="1" fillId="0" borderId="0" xfId="0" applyFont="1"/>
    <xf numFmtId="0" fontId="2" fillId="0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5458-0EF5-4B50-845E-23E6E29727C7}">
  <dimension ref="A1:S18"/>
  <sheetViews>
    <sheetView tabSelected="1" workbookViewId="0">
      <selection activeCell="B19" sqref="B19"/>
    </sheetView>
  </sheetViews>
  <sheetFormatPr defaultRowHeight="14.4" x14ac:dyDescent="0.3"/>
  <cols>
    <col min="1" max="1" width="16.21875" customWidth="1"/>
    <col min="2" max="2" width="13.6640625" customWidth="1"/>
    <col min="3" max="3" width="13.33203125" customWidth="1"/>
    <col min="4" max="4" width="12.33203125" customWidth="1"/>
    <col min="5" max="5" width="12.88671875" customWidth="1"/>
    <col min="6" max="7" width="20.77734375" customWidth="1"/>
    <col min="12" max="12" width="12.33203125" customWidth="1"/>
    <col min="13" max="13" width="14.33203125" customWidth="1"/>
    <col min="14" max="14" width="21.109375" customWidth="1"/>
    <col min="15" max="15" width="12.5546875" customWidth="1"/>
    <col min="16" max="16" width="12.21875" customWidth="1"/>
    <col min="17" max="17" width="15.33203125" customWidth="1"/>
    <col min="18" max="18" width="10.88671875" customWidth="1"/>
    <col min="19" max="19" width="11.88671875" customWidth="1"/>
  </cols>
  <sheetData>
    <row r="1" spans="1:19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3</v>
      </c>
      <c r="I1" s="1" t="s">
        <v>35</v>
      </c>
      <c r="J1" s="1" t="s">
        <v>36</v>
      </c>
      <c r="K1" s="9" t="s">
        <v>37</v>
      </c>
      <c r="L1" s="10" t="s">
        <v>50</v>
      </c>
      <c r="M1" s="10" t="s">
        <v>49</v>
      </c>
      <c r="O1" s="4" t="s">
        <v>46</v>
      </c>
      <c r="Q1" s="6"/>
      <c r="S1" s="4"/>
    </row>
    <row r="2" spans="1:19" ht="27.6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3">
        <v>15</v>
      </c>
      <c r="F2" s="3">
        <v>45000</v>
      </c>
      <c r="G2" s="3"/>
      <c r="H2" s="2" t="s">
        <v>9</v>
      </c>
      <c r="I2" s="2" t="s">
        <v>38</v>
      </c>
      <c r="J2" s="2" t="s">
        <v>39</v>
      </c>
      <c r="K2" s="3">
        <v>3000</v>
      </c>
      <c r="L2" s="7">
        <f>VLOOKUP(H2,H1:K6,4,FALSE)</f>
        <v>3000</v>
      </c>
      <c r="M2" s="7" t="str">
        <f>VLOOKUP(H2,H1:K6,2,FALSE)</f>
        <v>Laptop</v>
      </c>
      <c r="O2">
        <f>E2*K2</f>
        <v>45000</v>
      </c>
    </row>
    <row r="3" spans="1:19" ht="27.6" thickBo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3">
        <v>20</v>
      </c>
      <c r="F3" s="3">
        <v>60000</v>
      </c>
      <c r="G3" s="3"/>
      <c r="H3" s="2" t="s">
        <v>13</v>
      </c>
      <c r="I3" s="2" t="s">
        <v>40</v>
      </c>
      <c r="J3" s="2" t="s">
        <v>39</v>
      </c>
      <c r="K3" s="3">
        <v>3000</v>
      </c>
      <c r="L3" s="7">
        <f t="shared" ref="L3:L6" si="0">VLOOKUP(H3,H2:K7,4,FALSE)</f>
        <v>3000</v>
      </c>
      <c r="M3" s="7" t="str">
        <f>VLOOKUP(H3,H2:K7,2,FALSE)</f>
        <v>Smartphone</v>
      </c>
      <c r="O3">
        <f>E3*K3</f>
        <v>60000</v>
      </c>
    </row>
    <row r="4" spans="1:19" ht="27.6" thickBo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3">
        <v>10</v>
      </c>
      <c r="F4" s="3">
        <v>35000</v>
      </c>
      <c r="G4" s="3"/>
      <c r="H4" s="2" t="s">
        <v>17</v>
      </c>
      <c r="I4" s="2" t="s">
        <v>41</v>
      </c>
      <c r="J4" s="2" t="s">
        <v>42</v>
      </c>
      <c r="K4" s="3">
        <v>3500</v>
      </c>
      <c r="L4" s="7">
        <f t="shared" si="0"/>
        <v>3500</v>
      </c>
      <c r="M4" s="7" t="str">
        <f>VLOOKUP(H4,H3:K8,2,FALSE)</f>
        <v>Headphones</v>
      </c>
      <c r="O4">
        <f>E4*K4</f>
        <v>35000</v>
      </c>
    </row>
    <row r="5" spans="1:19" ht="27.6" thickBo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3">
        <v>25</v>
      </c>
      <c r="F5" s="3">
        <v>125000</v>
      </c>
      <c r="G5" s="3"/>
      <c r="H5" s="2" t="s">
        <v>21</v>
      </c>
      <c r="I5" s="2" t="s">
        <v>43</v>
      </c>
      <c r="J5" s="2" t="s">
        <v>44</v>
      </c>
      <c r="K5" s="3">
        <v>5000</v>
      </c>
      <c r="L5" s="7">
        <f t="shared" si="0"/>
        <v>5000</v>
      </c>
      <c r="M5" s="7" t="str">
        <f>VLOOKUP(H5,H4:K9,2,FALSE)</f>
        <v>Printer</v>
      </c>
      <c r="O5">
        <f>E5*K5</f>
        <v>125000</v>
      </c>
    </row>
    <row r="6" spans="1:19" ht="27.6" thickBot="1" x14ac:dyDescent="0.35">
      <c r="A6" s="2" t="s">
        <v>22</v>
      </c>
      <c r="B6" s="2" t="s">
        <v>23</v>
      </c>
      <c r="C6" s="2" t="s">
        <v>8</v>
      </c>
      <c r="D6" s="2" t="s">
        <v>24</v>
      </c>
      <c r="E6" s="3">
        <v>12</v>
      </c>
      <c r="F6" s="3">
        <v>48000</v>
      </c>
      <c r="G6" s="3"/>
      <c r="H6" s="2" t="s">
        <v>24</v>
      </c>
      <c r="I6" s="2" t="s">
        <v>45</v>
      </c>
      <c r="J6" s="2" t="s">
        <v>39</v>
      </c>
      <c r="K6" s="3">
        <v>4000</v>
      </c>
      <c r="L6" s="7">
        <f t="shared" si="0"/>
        <v>4000</v>
      </c>
      <c r="M6" s="7" t="str">
        <f>VLOOKUP(H6,H5:K10,2,FALSE)</f>
        <v>Monitor</v>
      </c>
      <c r="O6">
        <f>E6*K6</f>
        <v>48000</v>
      </c>
    </row>
    <row r="7" spans="1:19" ht="15" thickBot="1" x14ac:dyDescent="0.35">
      <c r="A7" s="2" t="s">
        <v>25</v>
      </c>
      <c r="B7" s="2" t="s">
        <v>26</v>
      </c>
      <c r="C7" s="2" t="s">
        <v>16</v>
      </c>
      <c r="D7" s="2" t="s">
        <v>13</v>
      </c>
      <c r="E7" s="3">
        <v>18</v>
      </c>
      <c r="F7" s="3">
        <v>54000</v>
      </c>
      <c r="G7" s="7"/>
      <c r="L7" s="7"/>
      <c r="M7" s="7"/>
    </row>
    <row r="8" spans="1:19" ht="15" thickBot="1" x14ac:dyDescent="0.35">
      <c r="A8" s="2" t="s">
        <v>27</v>
      </c>
      <c r="B8" s="2" t="s">
        <v>28</v>
      </c>
      <c r="C8" s="2" t="s">
        <v>12</v>
      </c>
      <c r="D8" s="2" t="s">
        <v>17</v>
      </c>
      <c r="E8" s="3">
        <v>22</v>
      </c>
      <c r="F8" s="3">
        <v>77000</v>
      </c>
      <c r="G8" s="7"/>
      <c r="L8" s="7"/>
      <c r="M8" s="7"/>
      <c r="N8" s="5" t="s">
        <v>48</v>
      </c>
      <c r="O8">
        <f>SUM(O2:O6)</f>
        <v>313000</v>
      </c>
      <c r="R8" s="5"/>
    </row>
    <row r="9" spans="1:19" ht="15" thickBot="1" x14ac:dyDescent="0.35">
      <c r="A9" s="2" t="s">
        <v>29</v>
      </c>
      <c r="B9" s="2" t="s">
        <v>30</v>
      </c>
      <c r="C9" s="2" t="s">
        <v>20</v>
      </c>
      <c r="D9" s="2" t="s">
        <v>9</v>
      </c>
      <c r="E9" s="3">
        <v>30</v>
      </c>
      <c r="F9" s="3">
        <v>90000</v>
      </c>
      <c r="G9" s="7"/>
      <c r="L9" s="7"/>
      <c r="M9" s="7"/>
    </row>
    <row r="10" spans="1:19" ht="15" thickBot="1" x14ac:dyDescent="0.35">
      <c r="A10" s="2" t="s">
        <v>31</v>
      </c>
      <c r="B10" s="2" t="s">
        <v>32</v>
      </c>
      <c r="C10" s="2" t="s">
        <v>8</v>
      </c>
      <c r="D10" s="2" t="s">
        <v>21</v>
      </c>
      <c r="E10" s="3">
        <v>14</v>
      </c>
      <c r="F10" s="3">
        <v>70000</v>
      </c>
      <c r="G10" s="7"/>
      <c r="L10" s="7"/>
      <c r="M10" s="7"/>
    </row>
    <row r="11" spans="1:19" ht="15" thickBot="1" x14ac:dyDescent="0.35">
      <c r="A11" s="2" t="s">
        <v>33</v>
      </c>
      <c r="B11" s="2" t="s">
        <v>34</v>
      </c>
      <c r="C11" s="2" t="s">
        <v>16</v>
      </c>
      <c r="D11" s="2" t="s">
        <v>24</v>
      </c>
      <c r="E11" s="3">
        <v>8</v>
      </c>
      <c r="F11" s="3">
        <v>32000</v>
      </c>
      <c r="G11" s="7"/>
      <c r="J11" s="1" t="s">
        <v>2</v>
      </c>
      <c r="L11" s="7"/>
      <c r="M11" s="7"/>
    </row>
    <row r="14" spans="1:19" ht="15" thickBot="1" x14ac:dyDescent="0.35"/>
    <row r="15" spans="1:19" ht="15" thickBot="1" x14ac:dyDescent="0.35">
      <c r="A15" s="1" t="s">
        <v>2</v>
      </c>
      <c r="B15" s="1" t="s">
        <v>8</v>
      </c>
      <c r="C15" s="1" t="s">
        <v>12</v>
      </c>
      <c r="D15" s="1" t="s">
        <v>16</v>
      </c>
      <c r="E15" s="1" t="s">
        <v>20</v>
      </c>
      <c r="F15" s="2"/>
      <c r="G15" s="8"/>
    </row>
    <row r="16" spans="1:19" ht="15" thickBot="1" x14ac:dyDescent="0.35">
      <c r="A16" s="2" t="s">
        <v>47</v>
      </c>
      <c r="B16" s="3">
        <v>150000</v>
      </c>
      <c r="C16" s="3">
        <v>140000</v>
      </c>
      <c r="D16" s="3">
        <v>120000</v>
      </c>
      <c r="E16" s="3">
        <v>160000</v>
      </c>
      <c r="F16" s="2"/>
      <c r="G16" s="8"/>
    </row>
    <row r="18" spans="1:5" x14ac:dyDescent="0.3">
      <c r="A18" s="5" t="s">
        <v>51</v>
      </c>
      <c r="B18">
        <f>HLOOKUP(B15,A15:E16,2,FALSE)</f>
        <v>150000</v>
      </c>
      <c r="C18">
        <f>HLOOKUP(C15,B15:F16,2,FALSE)</f>
        <v>140000</v>
      </c>
      <c r="D18">
        <f>HLOOKUP(D15,C15:H16,2,FALSE)</f>
        <v>120000</v>
      </c>
      <c r="E18">
        <f>HLOOKUP(E15,D15:I16,2,FALSE)</f>
        <v>160000</v>
      </c>
    </row>
  </sheetData>
  <conditionalFormatting sqref="B16:E16">
    <cfRule type="cellIs" dxfId="0" priority="1" operator="lessThan">
      <formula>140000</formula>
    </cfRule>
  </conditionalFormatting>
  <dataValidations count="1">
    <dataValidation type="list" allowBlank="1" showInputMessage="1" showErrorMessage="1" sqref="J11:J17" xr:uid="{9F3C0AEF-C10E-42E2-9C30-AEDED58E2BB2}">
      <formula1>$B$15:$E$15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67C-908A-47A2-8BBB-FFD857B93E4F}">
  <dimension ref="A1:D7"/>
  <sheetViews>
    <sheetView workbookViewId="0">
      <selection activeCell="A2" sqref="A2:D7"/>
    </sheetView>
  </sheetViews>
  <sheetFormatPr defaultRowHeight="14.4" x14ac:dyDescent="0.3"/>
  <cols>
    <col min="1" max="1" width="13.33203125" customWidth="1"/>
    <col min="2" max="2" width="12.77734375" customWidth="1"/>
    <col min="3" max="3" width="13.5546875" customWidth="1"/>
    <col min="4" max="4" width="12.5546875" customWidth="1"/>
  </cols>
  <sheetData>
    <row r="1" spans="1:4" ht="15" thickBot="1" x14ac:dyDescent="0.35"/>
    <row r="2" spans="1:4" ht="27.6" thickBot="1" x14ac:dyDescent="0.35">
      <c r="A2" s="1" t="s">
        <v>3</v>
      </c>
      <c r="B2" s="1" t="s">
        <v>35</v>
      </c>
      <c r="C2" s="1" t="s">
        <v>36</v>
      </c>
      <c r="D2" s="1" t="s">
        <v>37</v>
      </c>
    </row>
    <row r="3" spans="1:4" ht="27.6" thickBot="1" x14ac:dyDescent="0.35">
      <c r="A3" s="2" t="s">
        <v>9</v>
      </c>
      <c r="B3" s="2" t="s">
        <v>38</v>
      </c>
      <c r="C3" s="2" t="s">
        <v>39</v>
      </c>
      <c r="D3" s="3">
        <v>3000</v>
      </c>
    </row>
    <row r="4" spans="1:4" ht="27.6" thickBot="1" x14ac:dyDescent="0.35">
      <c r="A4" s="2" t="s">
        <v>13</v>
      </c>
      <c r="B4" s="2" t="s">
        <v>40</v>
      </c>
      <c r="C4" s="2" t="s">
        <v>39</v>
      </c>
      <c r="D4" s="3">
        <v>3000</v>
      </c>
    </row>
    <row r="5" spans="1:4" ht="27.6" thickBot="1" x14ac:dyDescent="0.35">
      <c r="A5" s="2" t="s">
        <v>17</v>
      </c>
      <c r="B5" s="2" t="s">
        <v>41</v>
      </c>
      <c r="C5" s="2" t="s">
        <v>42</v>
      </c>
      <c r="D5" s="3">
        <v>3500</v>
      </c>
    </row>
    <row r="6" spans="1:4" ht="27.6" thickBot="1" x14ac:dyDescent="0.35">
      <c r="A6" s="2" t="s">
        <v>21</v>
      </c>
      <c r="B6" s="2" t="s">
        <v>43</v>
      </c>
      <c r="C6" s="2" t="s">
        <v>44</v>
      </c>
      <c r="D6" s="3">
        <v>5000</v>
      </c>
    </row>
    <row r="7" spans="1:4" ht="27.6" thickBot="1" x14ac:dyDescent="0.35">
      <c r="A7" s="2" t="s">
        <v>24</v>
      </c>
      <c r="B7" s="2" t="s">
        <v>45</v>
      </c>
      <c r="C7" s="2" t="s">
        <v>39</v>
      </c>
      <c r="D7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zadenikita663@gmail.com</dc:creator>
  <cp:lastModifiedBy>zadenikita663@gmail.com</cp:lastModifiedBy>
  <dcterms:created xsi:type="dcterms:W3CDTF">2025-11-01T06:22:21Z</dcterms:created>
  <dcterms:modified xsi:type="dcterms:W3CDTF">2025-11-01T07:54:19Z</dcterms:modified>
</cp:coreProperties>
</file>